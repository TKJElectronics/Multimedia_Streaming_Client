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27720" windowHeight="11310"/>
  </bookViews>
  <sheets>
    <sheet name="Ark1" sheetId="1" r:id="rId1"/>
    <sheet name="Ark2" sheetId="2" r:id="rId2"/>
    <sheet name="Ark3" sheetId="3" r:id="rId3"/>
  </sheets>
  <functionGroups/>
  <calcPr calcId="125725"/>
</workbook>
</file>

<file path=xl/calcChain.xml><?xml version="1.0" encoding="utf-8"?>
<calcChain xmlns="http://schemas.openxmlformats.org/spreadsheetml/2006/main">
  <c r="S14" i="1"/>
  <c r="S10"/>
  <c r="S4"/>
  <c r="S15"/>
  <c r="S16"/>
  <c r="S12"/>
  <c r="S20"/>
  <c r="S5"/>
  <c r="S6"/>
  <c r="S9"/>
  <c r="S13"/>
  <c r="S11"/>
  <c r="S8"/>
  <c r="S3"/>
  <c r="S7"/>
  <c r="S34"/>
  <c r="T34" l="1"/>
</calcChain>
</file>

<file path=xl/sharedStrings.xml><?xml version="1.0" encoding="utf-8"?>
<sst xmlns="http://schemas.openxmlformats.org/spreadsheetml/2006/main" count="198" uniqueCount="93">
  <si>
    <t>Packages</t>
  </si>
  <si>
    <t>Command</t>
  </si>
  <si>
    <t>Check communication</t>
  </si>
  <si>
    <t>0x01</t>
  </si>
  <si>
    <t>Checksum</t>
  </si>
  <si>
    <t>64 byte maximum length</t>
  </si>
  <si>
    <t>Response</t>
  </si>
  <si>
    <t>Request</t>
  </si>
  <si>
    <t>Unique ID 1</t>
  </si>
  <si>
    <t>Unique ID 4</t>
  </si>
  <si>
    <t>Unique ID 2</t>
  </si>
  <si>
    <t>Unique ID 3</t>
  </si>
  <si>
    <t>0x02</t>
  </si>
  <si>
    <t>Notes</t>
  </si>
  <si>
    <t>Request files list</t>
  </si>
  <si>
    <t>0x03</t>
  </si>
  <si>
    <t>Folder ID</t>
  </si>
  <si>
    <t>0x04</t>
  </si>
  <si>
    <t>Item type</t>
  </si>
  <si>
    <t>Sends response to acknowledge start of file/folder list read</t>
  </si>
  <si>
    <t>0x05</t>
  </si>
  <si>
    <t>Items count</t>
  </si>
  <si>
    <t>Item ID</t>
  </si>
  <si>
    <t>0x08</t>
  </si>
  <si>
    <t>Request folder name</t>
  </si>
  <si>
    <t>Reqeust file name</t>
  </si>
  <si>
    <t>0x0A</t>
  </si>
  <si>
    <t>0x09</t>
  </si>
  <si>
    <t>0x0B</t>
  </si>
  <si>
    <t>Client --&gt; Host</t>
  </si>
  <si>
    <t>0x0C</t>
  </si>
  <si>
    <t>Host --&gt; Client</t>
  </si>
  <si>
    <t>0x0D</t>
  </si>
  <si>
    <t>File length &lt;7:0&gt;</t>
  </si>
  <si>
    <t>File length &lt;15:8&gt;</t>
  </si>
  <si>
    <t>File length &lt;23:16&gt;</t>
  </si>
  <si>
    <t>File length &lt;31:24&gt;</t>
  </si>
  <si>
    <t>Divided packages &lt;15:8&gt;</t>
  </si>
  <si>
    <t>Divided packages &lt;7:0&gt;</t>
  </si>
  <si>
    <t>Request next package</t>
  </si>
  <si>
    <t>Error occoured</t>
  </si>
  <si>
    <t>0xEE</t>
  </si>
  <si>
    <t>ERR ID</t>
  </si>
  <si>
    <t>File is divided into x packages, sent after eachother - Data package length = how long will each upcoming data packages be (how many data bytes)</t>
  </si>
  <si>
    <t>1+NL</t>
  </si>
  <si>
    <t>NL, Name length</t>
  </si>
  <si>
    <t>File name bytes &lt;NL:0&gt;</t>
  </si>
  <si>
    <t>Folder name bytes &lt;NL:0&gt;</t>
  </si>
  <si>
    <t>PN, Package number</t>
  </si>
  <si>
    <t>Requests next file package, package number should be increasing - Package number starts at 1</t>
  </si>
  <si>
    <t>Package data (up to 58 bytes)</t>
  </si>
  <si>
    <t>Assigned Client ID</t>
  </si>
  <si>
    <t>0xFF</t>
  </si>
  <si>
    <t>CID, Client ID</t>
  </si>
  <si>
    <t>CID</t>
  </si>
  <si>
    <t>Test package (for checksum calculation)</t>
  </si>
  <si>
    <t>Ping</t>
  </si>
  <si>
    <t>Client --&gt;</t>
  </si>
  <si>
    <t>0x40</t>
  </si>
  <si>
    <t>0x41</t>
  </si>
  <si>
    <t>Pong</t>
  </si>
  <si>
    <t>Assigns Client ID to client for use in communication, ID=0xFF if access not granted</t>
  </si>
  <si>
    <t>Name bytes &lt;NL:0&gt;</t>
  </si>
  <si>
    <t>Item response, once for every item. Item ID=unique item ID assigned by computer (indexed), Item type: F=folder, A=audio, I=image</t>
  </si>
  <si>
    <t>0x06</t>
  </si>
  <si>
    <t>PN going from 0 and up to Length-1</t>
  </si>
  <si>
    <t>Divided packages &lt;23:16&gt;</t>
  </si>
  <si>
    <t>Data bytes &lt;PN*DPL : (PNMAX-1)*DPL&gt;</t>
  </si>
  <si>
    <t>PN, Package number &lt;23:16&gt;</t>
  </si>
  <si>
    <t>PN, Package number &lt;15:8&gt;</t>
  </si>
  <si>
    <t>PN, Package number &lt;7:0&gt;</t>
  </si>
  <si>
    <t>Length &lt;15:8&gt;</t>
  </si>
  <si>
    <t>Length &lt;7:0&gt;</t>
  </si>
  <si>
    <t>DPL, Data package length &lt;15:8&gt;</t>
  </si>
  <si>
    <t>DPL, Data package length &lt;7:0&gt;</t>
  </si>
  <si>
    <t>Item ID &lt;15:8&gt;</t>
  </si>
  <si>
    <t>Item ID &lt;7:0&gt;</t>
  </si>
  <si>
    <t>5+DPL</t>
  </si>
  <si>
    <t>Folder ID &lt;15:8&gt;</t>
  </si>
  <si>
    <t>Folder ID &lt;7:0&gt;</t>
  </si>
  <si>
    <t>5+NL</t>
  </si>
  <si>
    <t>Request audio file information/length</t>
  </si>
  <si>
    <t>Request audio content</t>
  </si>
  <si>
    <t>Request image information/length</t>
  </si>
  <si>
    <t>Request image content</t>
  </si>
  <si>
    <t>0x1A</t>
  </si>
  <si>
    <t>0x1B</t>
  </si>
  <si>
    <t>0x1C</t>
  </si>
  <si>
    <t>0x1D</t>
  </si>
  <si>
    <t>Image width &lt;15:8&gt;</t>
  </si>
  <si>
    <t>Image width &lt;7:0&gt;</t>
  </si>
  <si>
    <t>Image height &lt;15:8&gt;</t>
  </si>
  <si>
    <t>Image height &lt;7:0&gt;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</si>
</sst>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2" borderId="0" xfId="0" applyFont="1" applyFill="1"/>
    <xf numFmtId="0" fontId="0" fillId="0" borderId="0" xfId="0" applyAlignment="1">
      <alignment horizontal="left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8</xdr:row>
      <xdr:rowOff>104776</xdr:rowOff>
    </xdr:from>
    <xdr:to>
      <xdr:col>10</xdr:col>
      <xdr:colOff>819150</xdr:colOff>
      <xdr:row>11</xdr:row>
      <xdr:rowOff>19050</xdr:rowOff>
    </xdr:to>
    <xdr:sp macro="" textlink="">
      <xdr:nvSpPr>
        <xdr:cNvPr id="2" name="Tekstboks 1"/>
        <xdr:cNvSpPr txBox="1"/>
      </xdr:nvSpPr>
      <xdr:spPr>
        <a:xfrm>
          <a:off x="7677150" y="1543051"/>
          <a:ext cx="1943100" cy="495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da-DK" sz="2800" b="1"/>
            <a:t>OBSOLETE!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1"/>
  <dimension ref="A1:U34"/>
  <sheetViews>
    <sheetView tabSelected="1" workbookViewId="0">
      <selection activeCell="E25" sqref="E25"/>
    </sheetView>
  </sheetViews>
  <sheetFormatPr defaultRowHeight="15"/>
  <cols>
    <col min="1" max="1" width="25.140625" customWidth="1"/>
    <col min="2" max="2" width="14.7109375" customWidth="1"/>
    <col min="3" max="3" width="11.42578125" customWidth="1"/>
    <col min="4" max="4" width="12.5703125" bestFit="1" customWidth="1"/>
    <col min="5" max="5" width="11.5703125" customWidth="1"/>
    <col min="6" max="6" width="13.140625" bestFit="1" customWidth="1"/>
    <col min="7" max="7" width="12" bestFit="1" customWidth="1"/>
    <col min="8" max="8" width="16" customWidth="1"/>
    <col min="9" max="9" width="14.7109375" customWidth="1"/>
    <col min="10" max="10" width="19.28515625" customWidth="1"/>
    <col min="11" max="11" width="16.5703125" bestFit="1" customWidth="1"/>
    <col min="12" max="12" width="15.5703125" bestFit="1" customWidth="1"/>
    <col min="13" max="13" width="22.7109375" bestFit="1" customWidth="1"/>
    <col min="14" max="14" width="21.7109375" bestFit="1" customWidth="1"/>
    <col min="15" max="15" width="23.42578125" bestFit="1" customWidth="1"/>
    <col min="16" max="16" width="21.7109375" bestFit="1" customWidth="1"/>
    <col min="17" max="18" width="21.7109375" customWidth="1"/>
    <col min="21" max="21" width="128.28515625" customWidth="1"/>
  </cols>
  <sheetData>
    <row r="1" spans="1:21" ht="23.25">
      <c r="A1" s="1" t="s">
        <v>0</v>
      </c>
      <c r="B1" s="1"/>
      <c r="C1" t="s">
        <v>5</v>
      </c>
    </row>
    <row r="2" spans="1:21">
      <c r="D2" t="s">
        <v>53</v>
      </c>
      <c r="E2" t="s">
        <v>1</v>
      </c>
      <c r="F2" t="s">
        <v>71</v>
      </c>
      <c r="G2" t="s">
        <v>72</v>
      </c>
      <c r="H2" s="13" t="s">
        <v>50</v>
      </c>
      <c r="I2" s="13"/>
      <c r="J2" s="13"/>
      <c r="K2" s="13"/>
      <c r="L2" s="13"/>
      <c r="M2" s="13"/>
      <c r="N2" s="13"/>
      <c r="O2" s="13"/>
      <c r="P2" s="13"/>
      <c r="Q2" s="4"/>
      <c r="R2" s="8"/>
      <c r="S2" t="s">
        <v>4</v>
      </c>
      <c r="U2" t="s">
        <v>13</v>
      </c>
    </row>
    <row r="3" spans="1:21">
      <c r="A3" t="s">
        <v>2</v>
      </c>
      <c r="B3" t="s">
        <v>29</v>
      </c>
      <c r="C3" t="s">
        <v>7</v>
      </c>
      <c r="D3" t="s">
        <v>52</v>
      </c>
      <c r="E3" t="s">
        <v>3</v>
      </c>
      <c r="F3" s="11">
        <v>4</v>
      </c>
      <c r="G3" s="11"/>
      <c r="H3" t="s">
        <v>8</v>
      </c>
      <c r="I3" t="s">
        <v>10</v>
      </c>
      <c r="J3" t="s">
        <v>11</v>
      </c>
      <c r="K3" t="s">
        <v>9</v>
      </c>
      <c r="S3">
        <f>Checksum(SUM(C3:P3))</f>
        <v>251</v>
      </c>
    </row>
    <row r="4" spans="1:21">
      <c r="B4" t="s">
        <v>31</v>
      </c>
      <c r="C4" t="s">
        <v>6</v>
      </c>
      <c r="D4" t="s">
        <v>52</v>
      </c>
      <c r="E4" t="s">
        <v>12</v>
      </c>
      <c r="F4" s="11">
        <v>5</v>
      </c>
      <c r="G4" s="11"/>
      <c r="H4" t="s">
        <v>8</v>
      </c>
      <c r="I4" t="s">
        <v>10</v>
      </c>
      <c r="J4" t="s">
        <v>11</v>
      </c>
      <c r="K4" t="s">
        <v>9</v>
      </c>
      <c r="L4" t="s">
        <v>51</v>
      </c>
      <c r="S4">
        <f>Checksum(SUM(C4:P4))</f>
        <v>250</v>
      </c>
      <c r="U4" t="s">
        <v>61</v>
      </c>
    </row>
    <row r="5" spans="1:21">
      <c r="A5" t="s">
        <v>14</v>
      </c>
      <c r="B5" t="s">
        <v>29</v>
      </c>
      <c r="C5" t="s">
        <v>7</v>
      </c>
      <c r="D5" t="s">
        <v>54</v>
      </c>
      <c r="E5" t="s">
        <v>15</v>
      </c>
      <c r="F5" s="11">
        <v>2</v>
      </c>
      <c r="G5" s="11"/>
      <c r="H5" t="s">
        <v>78</v>
      </c>
      <c r="I5" t="s">
        <v>79</v>
      </c>
      <c r="S5">
        <f t="shared" ref="S5:S13" si="0">Checksum(SUM(F5:P5))</f>
        <v>253</v>
      </c>
    </row>
    <row r="6" spans="1:21">
      <c r="B6" t="s">
        <v>31</v>
      </c>
      <c r="C6" t="s">
        <v>6</v>
      </c>
      <c r="D6" t="s">
        <v>54</v>
      </c>
      <c r="E6" t="s">
        <v>17</v>
      </c>
      <c r="F6" s="11">
        <v>3</v>
      </c>
      <c r="G6" s="11"/>
      <c r="H6" t="s">
        <v>78</v>
      </c>
      <c r="I6" t="s">
        <v>79</v>
      </c>
      <c r="J6" t="s">
        <v>21</v>
      </c>
      <c r="S6">
        <f t="shared" si="0"/>
        <v>252</v>
      </c>
      <c r="U6" t="s">
        <v>19</v>
      </c>
    </row>
    <row r="7" spans="1:21">
      <c r="A7" t="s">
        <v>39</v>
      </c>
      <c r="B7" t="s">
        <v>29</v>
      </c>
      <c r="C7" t="s">
        <v>7</v>
      </c>
      <c r="D7" t="s">
        <v>54</v>
      </c>
      <c r="E7" t="s">
        <v>20</v>
      </c>
      <c r="F7" s="11">
        <v>3</v>
      </c>
      <c r="G7" s="11"/>
      <c r="H7" t="s">
        <v>78</v>
      </c>
      <c r="I7" t="s">
        <v>79</v>
      </c>
      <c r="J7" t="s">
        <v>48</v>
      </c>
      <c r="S7">
        <f t="shared" si="0"/>
        <v>252</v>
      </c>
      <c r="U7" t="s">
        <v>65</v>
      </c>
    </row>
    <row r="8" spans="1:21">
      <c r="B8" t="s">
        <v>31</v>
      </c>
      <c r="C8" t="s">
        <v>6</v>
      </c>
      <c r="D8" t="s">
        <v>54</v>
      </c>
      <c r="E8" t="s">
        <v>64</v>
      </c>
      <c r="F8" s="11" t="s">
        <v>80</v>
      </c>
      <c r="G8" s="11"/>
      <c r="H8" t="s">
        <v>78</v>
      </c>
      <c r="I8" t="s">
        <v>79</v>
      </c>
      <c r="J8" t="s">
        <v>75</v>
      </c>
      <c r="K8" t="s">
        <v>76</v>
      </c>
      <c r="L8" t="s">
        <v>18</v>
      </c>
      <c r="M8" s="10" t="s">
        <v>62</v>
      </c>
      <c r="N8" s="10"/>
      <c r="O8" s="10"/>
      <c r="P8" s="10"/>
      <c r="Q8" s="10"/>
      <c r="R8" s="6"/>
      <c r="S8">
        <f t="shared" si="0"/>
        <v>255</v>
      </c>
      <c r="U8" t="s">
        <v>63</v>
      </c>
    </row>
    <row r="9" spans="1:21" ht="15.75">
      <c r="A9" s="2" t="s">
        <v>24</v>
      </c>
      <c r="B9" s="2" t="s">
        <v>29</v>
      </c>
      <c r="C9" s="2" t="s">
        <v>7</v>
      </c>
      <c r="D9" s="2" t="s">
        <v>54</v>
      </c>
      <c r="E9" s="2" t="s">
        <v>23</v>
      </c>
      <c r="F9" s="12">
        <v>1</v>
      </c>
      <c r="G9" s="12"/>
      <c r="H9" s="2" t="s">
        <v>16</v>
      </c>
      <c r="I9" s="2"/>
      <c r="J9" s="3"/>
      <c r="K9" s="2"/>
      <c r="L9" s="2"/>
      <c r="M9" s="2"/>
      <c r="N9" s="2"/>
      <c r="O9" s="2"/>
      <c r="P9" s="2"/>
      <c r="Q9" s="2"/>
      <c r="R9" s="2"/>
      <c r="S9" s="2">
        <f t="shared" si="0"/>
        <v>254</v>
      </c>
      <c r="T9" s="2"/>
      <c r="U9" s="2"/>
    </row>
    <row r="10" spans="1:21">
      <c r="A10" s="2"/>
      <c r="B10" s="2" t="s">
        <v>31</v>
      </c>
      <c r="C10" s="2" t="s">
        <v>6</v>
      </c>
      <c r="D10" s="2" t="s">
        <v>54</v>
      </c>
      <c r="E10" s="2" t="s">
        <v>27</v>
      </c>
      <c r="F10" s="12" t="s">
        <v>44</v>
      </c>
      <c r="G10" s="12"/>
      <c r="H10" s="2" t="s">
        <v>16</v>
      </c>
      <c r="I10" s="2" t="s">
        <v>45</v>
      </c>
      <c r="J10" s="12" t="s">
        <v>47</v>
      </c>
      <c r="K10" s="12"/>
      <c r="L10" s="12"/>
      <c r="M10" s="12"/>
      <c r="N10" s="12"/>
      <c r="O10" s="12"/>
      <c r="P10" s="12"/>
      <c r="Q10" s="5"/>
      <c r="R10" s="7"/>
      <c r="S10" s="2">
        <f t="shared" si="0"/>
        <v>255</v>
      </c>
      <c r="T10" s="2"/>
      <c r="U10" s="2"/>
    </row>
    <row r="11" spans="1:21">
      <c r="A11" s="2" t="s">
        <v>25</v>
      </c>
      <c r="B11" s="2" t="s">
        <v>29</v>
      </c>
      <c r="C11" s="2" t="s">
        <v>7</v>
      </c>
      <c r="D11" s="2" t="s">
        <v>54</v>
      </c>
      <c r="E11" s="2" t="s">
        <v>26</v>
      </c>
      <c r="F11" s="12">
        <v>1</v>
      </c>
      <c r="G11" s="12"/>
      <c r="H11" s="2" t="s">
        <v>22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>
        <f t="shared" si="0"/>
        <v>254</v>
      </c>
      <c r="T11" s="2"/>
      <c r="U11" s="2"/>
    </row>
    <row r="12" spans="1:21">
      <c r="A12" s="2"/>
      <c r="B12" s="2" t="s">
        <v>31</v>
      </c>
      <c r="C12" s="2" t="s">
        <v>6</v>
      </c>
      <c r="D12" s="2" t="s">
        <v>54</v>
      </c>
      <c r="E12" s="2" t="s">
        <v>28</v>
      </c>
      <c r="F12" s="12" t="s">
        <v>44</v>
      </c>
      <c r="G12" s="12"/>
      <c r="H12" s="2" t="s">
        <v>22</v>
      </c>
      <c r="I12" s="2" t="s">
        <v>45</v>
      </c>
      <c r="J12" s="12" t="s">
        <v>46</v>
      </c>
      <c r="K12" s="12"/>
      <c r="L12" s="12"/>
      <c r="M12" s="12"/>
      <c r="N12" s="12"/>
      <c r="O12" s="12"/>
      <c r="P12" s="12"/>
      <c r="Q12" s="5"/>
      <c r="R12" s="7"/>
      <c r="S12" s="2">
        <f t="shared" si="0"/>
        <v>255</v>
      </c>
      <c r="T12" s="2"/>
      <c r="U12" s="2"/>
    </row>
    <row r="13" spans="1:21">
      <c r="A13" t="s">
        <v>81</v>
      </c>
      <c r="B13" t="s">
        <v>29</v>
      </c>
      <c r="C13" t="s">
        <v>7</v>
      </c>
      <c r="D13" t="s">
        <v>54</v>
      </c>
      <c r="E13" t="s">
        <v>26</v>
      </c>
      <c r="F13" s="11">
        <v>2</v>
      </c>
      <c r="G13" s="11"/>
      <c r="H13" t="s">
        <v>75</v>
      </c>
      <c r="I13" t="s">
        <v>76</v>
      </c>
      <c r="S13">
        <f t="shared" si="0"/>
        <v>253</v>
      </c>
    </row>
    <row r="14" spans="1:21">
      <c r="B14" t="s">
        <v>31</v>
      </c>
      <c r="C14" t="s">
        <v>6</v>
      </c>
      <c r="D14" t="s">
        <v>54</v>
      </c>
      <c r="E14" t="s">
        <v>28</v>
      </c>
      <c r="F14" s="11">
        <v>11</v>
      </c>
      <c r="G14" s="11"/>
      <c r="H14" t="s">
        <v>75</v>
      </c>
      <c r="I14" t="s">
        <v>76</v>
      </c>
      <c r="J14" t="s">
        <v>36</v>
      </c>
      <c r="K14" t="s">
        <v>35</v>
      </c>
      <c r="L14" t="s">
        <v>34</v>
      </c>
      <c r="M14" t="s">
        <v>33</v>
      </c>
      <c r="N14" t="s">
        <v>73</v>
      </c>
      <c r="O14" t="s">
        <v>74</v>
      </c>
      <c r="P14" t="s">
        <v>66</v>
      </c>
      <c r="Q14" t="s">
        <v>37</v>
      </c>
      <c r="R14" t="s">
        <v>38</v>
      </c>
      <c r="S14">
        <f>Checksum(SUM(F14:R14))</f>
        <v>244</v>
      </c>
      <c r="U14" t="s">
        <v>43</v>
      </c>
    </row>
    <row r="15" spans="1:21">
      <c r="A15" t="s">
        <v>82</v>
      </c>
      <c r="B15" t="s">
        <v>29</v>
      </c>
      <c r="C15" t="s">
        <v>7</v>
      </c>
      <c r="D15" t="s">
        <v>54</v>
      </c>
      <c r="E15" t="s">
        <v>30</v>
      </c>
      <c r="F15" s="11">
        <v>5</v>
      </c>
      <c r="G15" s="11"/>
      <c r="H15" t="s">
        <v>75</v>
      </c>
      <c r="I15" t="s">
        <v>76</v>
      </c>
      <c r="J15" t="s">
        <v>68</v>
      </c>
      <c r="K15" t="s">
        <v>69</v>
      </c>
      <c r="L15" t="s">
        <v>70</v>
      </c>
      <c r="S15">
        <f>Checksum(SUM(F15:P15))</f>
        <v>250</v>
      </c>
      <c r="U15" t="s">
        <v>49</v>
      </c>
    </row>
    <row r="16" spans="1:21">
      <c r="B16" t="s">
        <v>31</v>
      </c>
      <c r="C16" t="s">
        <v>6</v>
      </c>
      <c r="D16" t="s">
        <v>54</v>
      </c>
      <c r="E16" t="s">
        <v>32</v>
      </c>
      <c r="F16" s="11" t="s">
        <v>77</v>
      </c>
      <c r="G16" s="11"/>
      <c r="H16" t="s">
        <v>75</v>
      </c>
      <c r="I16" t="s">
        <v>76</v>
      </c>
      <c r="J16" t="s">
        <v>68</v>
      </c>
      <c r="K16" t="s">
        <v>69</v>
      </c>
      <c r="L16" t="s">
        <v>70</v>
      </c>
      <c r="M16" s="11" t="s">
        <v>67</v>
      </c>
      <c r="N16" s="11"/>
      <c r="O16" s="11"/>
      <c r="P16" s="11"/>
      <c r="Q16" s="11"/>
      <c r="R16" s="6"/>
      <c r="S16">
        <f>Checksum(SUM(F16:P16))</f>
        <v>255</v>
      </c>
      <c r="U16" t="s">
        <v>65</v>
      </c>
    </row>
    <row r="17" spans="1:19">
      <c r="A17" t="s">
        <v>83</v>
      </c>
      <c r="B17" t="s">
        <v>29</v>
      </c>
      <c r="C17" t="s">
        <v>7</v>
      </c>
      <c r="D17" t="s">
        <v>54</v>
      </c>
      <c r="E17" t="s">
        <v>85</v>
      </c>
      <c r="F17" s="11">
        <v>2</v>
      </c>
      <c r="G17" s="11"/>
      <c r="H17" t="s">
        <v>75</v>
      </c>
      <c r="I17" t="s">
        <v>76</v>
      </c>
    </row>
    <row r="18" spans="1:19">
      <c r="B18" t="s">
        <v>31</v>
      </c>
      <c r="C18" t="s">
        <v>6</v>
      </c>
      <c r="D18" t="s">
        <v>54</v>
      </c>
      <c r="E18" t="s">
        <v>86</v>
      </c>
      <c r="F18" s="11">
        <v>11</v>
      </c>
      <c r="G18" s="11"/>
      <c r="H18" t="s">
        <v>75</v>
      </c>
      <c r="I18" t="s">
        <v>76</v>
      </c>
      <c r="J18" t="s">
        <v>89</v>
      </c>
      <c r="K18" t="s">
        <v>90</v>
      </c>
      <c r="L18" t="s">
        <v>91</v>
      </c>
      <c r="M18" t="s">
        <v>92</v>
      </c>
      <c r="N18" t="s">
        <v>73</v>
      </c>
      <c r="O18" t="s">
        <v>74</v>
      </c>
      <c r="P18" t="s">
        <v>66</v>
      </c>
      <c r="Q18" t="s">
        <v>37</v>
      </c>
      <c r="R18" t="s">
        <v>38</v>
      </c>
    </row>
    <row r="19" spans="1:19">
      <c r="A19" t="s">
        <v>84</v>
      </c>
      <c r="B19" t="s">
        <v>29</v>
      </c>
      <c r="C19" t="s">
        <v>7</v>
      </c>
      <c r="D19" t="s">
        <v>54</v>
      </c>
      <c r="E19" t="s">
        <v>87</v>
      </c>
      <c r="F19" s="11">
        <v>5</v>
      </c>
      <c r="G19" s="11"/>
      <c r="H19" t="s">
        <v>75</v>
      </c>
      <c r="I19" t="s">
        <v>76</v>
      </c>
      <c r="J19" t="s">
        <v>68</v>
      </c>
      <c r="K19" t="s">
        <v>69</v>
      </c>
      <c r="L19" t="s">
        <v>70</v>
      </c>
    </row>
    <row r="20" spans="1:19">
      <c r="B20" t="s">
        <v>31</v>
      </c>
      <c r="C20" t="s">
        <v>6</v>
      </c>
      <c r="D20" t="s">
        <v>54</v>
      </c>
      <c r="E20" t="s">
        <v>88</v>
      </c>
      <c r="F20" s="11" t="s">
        <v>77</v>
      </c>
      <c r="G20" s="11"/>
      <c r="H20" t="s">
        <v>75</v>
      </c>
      <c r="I20" t="s">
        <v>76</v>
      </c>
      <c r="J20" t="s">
        <v>68</v>
      </c>
      <c r="K20" t="s">
        <v>69</v>
      </c>
      <c r="L20" t="s">
        <v>70</v>
      </c>
      <c r="M20" s="11" t="s">
        <v>67</v>
      </c>
      <c r="N20" s="11"/>
      <c r="O20" s="11"/>
      <c r="P20" s="11"/>
      <c r="Q20" s="11"/>
      <c r="R20" s="9"/>
      <c r="S20">
        <f>Checksum(SUM(G20:P20))</f>
        <v>255</v>
      </c>
    </row>
    <row r="21" spans="1:19">
      <c r="F21" s="11"/>
      <c r="G21" s="11"/>
    </row>
    <row r="22" spans="1:19">
      <c r="F22" s="11"/>
      <c r="G22" s="11"/>
    </row>
    <row r="23" spans="1:19">
      <c r="F23" s="11"/>
      <c r="G23" s="11"/>
    </row>
    <row r="24" spans="1:19">
      <c r="A24" t="s">
        <v>56</v>
      </c>
      <c r="B24" t="s">
        <v>31</v>
      </c>
      <c r="C24" t="s">
        <v>7</v>
      </c>
      <c r="D24" t="s">
        <v>54</v>
      </c>
      <c r="E24" t="s">
        <v>58</v>
      </c>
      <c r="F24" s="11">
        <v>0</v>
      </c>
      <c r="G24" s="11"/>
    </row>
    <row r="25" spans="1:19">
      <c r="A25" t="s">
        <v>60</v>
      </c>
      <c r="B25" t="s">
        <v>57</v>
      </c>
      <c r="C25" t="s">
        <v>6</v>
      </c>
      <c r="D25" t="s">
        <v>54</v>
      </c>
      <c r="E25" t="s">
        <v>59</v>
      </c>
      <c r="F25" s="11">
        <v>0</v>
      </c>
      <c r="G25" s="11"/>
    </row>
    <row r="26" spans="1:19">
      <c r="F26" s="11"/>
      <c r="G26" s="11"/>
    </row>
    <row r="27" spans="1:19">
      <c r="F27" s="11"/>
      <c r="G27" s="11"/>
    </row>
    <row r="28" spans="1:19">
      <c r="F28" s="11"/>
      <c r="G28" s="11"/>
    </row>
    <row r="29" spans="1:19">
      <c r="F29" s="11"/>
      <c r="G29" s="11"/>
    </row>
    <row r="30" spans="1:19">
      <c r="A30" t="s">
        <v>40</v>
      </c>
      <c r="B30" t="s">
        <v>31</v>
      </c>
      <c r="C30" t="s">
        <v>6</v>
      </c>
      <c r="D30" t="s">
        <v>54</v>
      </c>
      <c r="E30" t="s">
        <v>41</v>
      </c>
      <c r="F30" s="11">
        <v>1</v>
      </c>
      <c r="G30" s="11"/>
      <c r="H30" t="s">
        <v>42</v>
      </c>
    </row>
    <row r="31" spans="1:19">
      <c r="F31" s="11"/>
      <c r="G31" s="11"/>
    </row>
    <row r="32" spans="1:19">
      <c r="F32" s="11"/>
      <c r="G32" s="11"/>
    </row>
    <row r="33" spans="1:20">
      <c r="F33" s="11"/>
      <c r="G33" s="11"/>
    </row>
    <row r="34" spans="1:20">
      <c r="A34" t="s">
        <v>55</v>
      </c>
      <c r="D34">
        <v>1</v>
      </c>
      <c r="E34">
        <v>28</v>
      </c>
      <c r="F34" s="11">
        <v>5</v>
      </c>
      <c r="G34" s="11"/>
      <c r="H34">
        <v>15</v>
      </c>
      <c r="I34">
        <v>67</v>
      </c>
      <c r="J34">
        <v>0</v>
      </c>
      <c r="K34">
        <v>0</v>
      </c>
      <c r="L34">
        <v>0</v>
      </c>
      <c r="M34">
        <v>1</v>
      </c>
      <c r="P34">
        <v>0</v>
      </c>
      <c r="S34">
        <f>Checksum(SUM(D34:P34))</f>
        <v>138</v>
      </c>
      <c r="T34" t="str">
        <f>DEC2HEX(S34)</f>
        <v>8A</v>
      </c>
    </row>
  </sheetData>
  <mergeCells count="37">
    <mergeCell ref="M20:Q20"/>
    <mergeCell ref="H2:P2"/>
    <mergeCell ref="J10:P10"/>
    <mergeCell ref="J12:P12"/>
    <mergeCell ref="M16:Q16"/>
    <mergeCell ref="F17:G17"/>
    <mergeCell ref="F15:G15"/>
    <mergeCell ref="F16:G16"/>
    <mergeCell ref="F24:G24"/>
    <mergeCell ref="F20:G20"/>
    <mergeCell ref="F21:G21"/>
    <mergeCell ref="F22:G22"/>
    <mergeCell ref="F23:G23"/>
    <mergeCell ref="F18:G18"/>
    <mergeCell ref="F19:G19"/>
    <mergeCell ref="F31:G31"/>
    <mergeCell ref="F32:G32"/>
    <mergeCell ref="F33:G33"/>
    <mergeCell ref="F34:G3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3:G13"/>
    <mergeCell ref="F14:G14"/>
    <mergeCell ref="F25:G25"/>
    <mergeCell ref="F30:G30"/>
    <mergeCell ref="F27:G27"/>
    <mergeCell ref="F28:G28"/>
    <mergeCell ref="F29:G29"/>
    <mergeCell ref="F26:G2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Ark1</vt:lpstr>
      <vt:lpstr>Ark2</vt:lpstr>
      <vt:lpstr>Ark3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Thomas</cp:lastModifiedBy>
  <dcterms:created xsi:type="dcterms:W3CDTF">2012-04-15T09:09:30Z</dcterms:created>
  <dcterms:modified xsi:type="dcterms:W3CDTF">2012-06-22T12:21:34Z</dcterms:modified>
</cp:coreProperties>
</file>